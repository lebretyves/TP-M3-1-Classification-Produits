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d814fa228b4c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ez-moi" sheetId="1" r:id="Rd1f6b4878f354480"/>
    <x:sheet xmlns:r="http://schemas.openxmlformats.org/officeDocument/2006/relationships" name="Grille" sheetId="2" r:id="Rfa7c5732f5534055"/>
  </x:sheets>
</x:workbook>
</file>

<file path=xl/comments1.xml><?xml version="1.0" encoding="utf-8"?>
<x:comments xmlns:x="http://schemas.openxmlformats.org/spreadsheetml/2006/main">
  <x:authors>
    <x:author/>
  </x:authors>
  <x:commentList>
    <x:comment ref="F5" authorId="0">
      <x:text>
        <x:r>
          <x:t>Périmètre retenu : App ECG de l'Apple Watch.
Sources consultées le 16 octobre 2026.
[S03] Apple : enregistrer un ECG avec l'app ECG
https://support.apple.com/fr-fr/120278
Finalité de détection des signes de fibrillation auriculaire.
[S04] Apple : notice européenne de l'app ECG, version 2.0
https://www.apple.com/legal/ifu/ecg/2-0/ecg-ifu-2-0-en_GB.pdf
Destination et limites d'utilisation de l'application médicale.
[S01] Règlement (UE) 2017/745 : art. 2 et annexe VIII
https://eur-lex.europa.eu/eli/reg/2017/745/oj?locale=fr
Qualification, destination, règles 3.3, 10, 11 et 12 ; intervention de l'organisme notifié : art. 52.
[S02] Commission européenne : MDCG 2019-11 rev. 1, juin 2025
https://health.ec.europa.eu/system/files/2025-06/mdcg_2019_11_en.pdf
Qualification et classification des logiciels ; périmètre des modules et conséquences des décisions.</x:t>
        </x:r>
      </x:text>
    </x:comment>
    <x:comment ref="F6" authorId="0">
      <x:text>
        <x:r>
          <x:t>Périmètre retenu : Withings BPM Connect.
Sources consultées le 16 octobre 2026.
[S05] Withings : BPM Connect
https://www.withings.com/fr-fr/products/bpm-connect
Mesure de la pression artérielle et revendication médicale.
[S06] Withings : données suivies et statut réglementaire dans l'UE
https://media.withings.com/legal/privacy/EU_Tracked-Data-Points.pdf
Gamme BPM : dispositifs médicaux de classe IIa.
[S01] Règlement (UE) 2017/745 : art. 2 et annexe VIII
https://eur-lex.europa.eu/eli/reg/2017/745/oj?locale=fr
Qualification, destination, règles 3.3, 10, 11 et 12 ; intervention de l'organisme notifié : art. 52.</x:t>
        </x:r>
      </x:text>
    </x:comment>
    <x:comment ref="F7" authorId="0">
      <x:text>
        <x:r>
          <x:t>Périmètre retenu : Petit BamBou : méditation / sommeil.
Sources consultées le 16 octobre 2026.
[S07] Petit BamBou : application Sommeil et approche non médicale
https://www.petitbambou.com/fr/articles/mieux-dormir-sommeil-application-petit-bambou
Promesse de relaxation et d'amélioration du sommeil.
[S01] Règlement (UE) 2017/745 : art. 2 et annexe VIII
https://eur-lex.europa.eu/eli/reg/2017/745/oj?locale=fr
Qualification, destination, règles 3.3, 10, 11 et 12 ; intervention de l'organisme notifié : art. 52.</x:t>
        </x:r>
      </x:text>
    </x:comment>
    <x:comment ref="F8" authorId="0">
      <x:text>
        <x:r>
          <x:t>Périmètre retenu : BodyScan 2 : fonction ECG ; comparaison BodyFit.
Sources consultées le 16 octobre 2026.
[S08] Withings : BodyScan 2
https://www.withings.com/fr-fr/products/bodyscan-2-black
Fonction ECG médicale, à distinguer des autres indicateurs de la balance.
[S09] Withings : FAQ BodyFit sur la vitesse d'onde de pouls
https://support.withings.com/hc/en-us/articles/45133944939409-BodyFit-Frequently-asked-questions-about-Pulse-Wave-Velocity
BodyFit est présenté comme un produit non médical.
[S10] Withings : déclaration UE de conformité ECG App Display
https://media.withings.com/legal/compliance/ECG-APP-DSP-DoC-MDR_01.pdf
Accessoire logiciel ECG App Display : IIa, règle 3.3. Ce document ne certifie pas toute la balance.
[S01] Règlement (UE) 2017/745 : art. 2 et annexe VIII
https://eur-lex.europa.eu/eli/reg/2017/745/oj?locale=fr
Qualification, destination, règles 3.3, 10, 11 et 12 ; intervention de l'organisme notifié : art. 52.
[S02] Commission européenne : MDCG 2019-11 rev. 1, juin 2025
https://health.ec.europa.eu/system/files/2025-06/mdcg_2019_11_en.pdf
Qualification et classification des logiciels ; périmètre des modules et conséquences des décisions.</x:t>
        </x:r>
      </x:text>
    </x:comment>
    <x:comment ref="F9" authorId="0">
      <x:text>
        <x:r>
          <x:t>Périmètre retenu : Pompe à insuline Omnipod DASH.
Sources consultées le 16 octobre 2026.
[S11] Insulet : destination du système Omnipod DASH
https://www.omnipod.com/fr-be/quest-ce-que-lomnipod/omnipod-dash
Administration sous-cutanée d'insuline à des débits fixes et variables.
[S12] HAS : avis Omnipod DASH, 2019
https://www.has-sante.fr/jcms/p_3165699/fr/omnipod-dash-insulin-management-system
Classe IIb documentée pour cette version de pompe.
[S01] Règlement (UE) 2017/745 : art. 2 et annexe VIII
https://eur-lex.europa.eu/eli/reg/2017/745/oj?locale=fr
Qualification, destination, règles 3.3, 10, 11 et 12 ; intervention de l'organisme notifié : art. 52.</x:t>
        </x:r>
      </x:text>
    </x:comment>
    <x:comment ref="F10" authorId="0">
      <x:text>
        <x:r>
          <x:t>Périmètre retenu : Implicity IM009.
Sources consultées le 16 octobre 2026.
[S13] Implicity : informations patients et mentions réglementaires
https://implicity.com/patients-informations/
IM009 : observations cliniques et tri ; classe I sous la directive 93/42/CEE. Ne pas confondre avec SignalHF.
[S14] HAS : IMPLICITY MCI IM009, février 2026, p. 7 et 13
https://www.has-sante.fr/upload/docs/application/pdf/2026-03/implicity_im009_avis_de_la_cnedimts_latm-18_occulte.docx.pdf
Ancienne classe I, transition vers le MDR ; classe nouvelle non précisée. La télésurveillance ne remplace pas une prise en charge urgente.
[S01] Règlement (UE) 2017/745 : art. 2 et annexe VIII
https://eur-lex.europa.eu/eli/reg/2017/745/oj?locale=fr
Qualification, destination, règles 3.3, 10, 11 et 12 ; intervention de l'organisme notifié : art. 52.
[S02] Commission européenne : MDCG 2019-11 rev. 1, juin 2025
https://health.ec.europa.eu/system/files/2025-06/mdcg_2019_11_en.pdf
Qualification et classification des logiciels ; périmètre des modules et conséquences des décisions.</x:t>
        </x:r>
      </x:text>
    </x:comment>
    <x:comment ref="F11" authorId="0">
      <x:text>
        <x:r>
          <x:t>Périmètre retenu : Détection de chute / téléassistance.
Sources consultées le 16 octobre 2026.
[S15] Apple : détection des chutes
https://support.apple.com/fr-fr/108896
Détection d'une chute et mise en relation avec les secours.
[S01] Règlement (UE) 2017/745 : art. 2 et annexe VIII
https://eur-lex.europa.eu/eli/reg/2017/745/oj?locale=fr
Qualification, destination, règles 3.3, 10, 11 et 12 ; intervention de l'organisme notifié : art. 52.
[S02] Commission européenne : MDCG 2019-11 rev. 1, juin 2025
https://health.ec.europa.eu/system/files/2025-06/mdcg_2019_11_en.pdf
Qualification et classification des logiciels ; périmètre des modules et conséquences des décisions.
Les deux phrases alternatives sont des propositions fictives pour répondre à la question 4, pas des citations du fabricant.</x:t>
        </x:r>
      </x:text>
    </x:comment>
    <x:comment ref="F12" authorId="0">
      <x:text>
        <x:r>
          <x:t>Périmètre retenu : Pilulier connecté : imedipac.
Sources consultées le 16 octobre 2026.
[S16] Medissimo : étude d'usage du pilulier connecté imedipac
https://www.medissimo.fr/wp-content/uploads/2023/06/3-EVALUATION-DES-RISQUES-D-USAGE-DU-PILULIER-CONNECTE.pdf
Étude ancienne hébergée par le fabricant ; suivi de l'observance.
[S17] Medissimo : histoire de l'entreprise et d'imedipac
https://www.medissimo.fr/histoire/
Le fabricant situe le retrait du marché d'imedipac en 2018.
[S18] HAS : MEDIPAC, 21 juin 2022, p. 4
https://www.has-sante.fr/upload/docs/evamed/CNEDIMTS-6711_MEDIPAC_21%20juin%202022_%286711%29_avis.pdf
Position ANSM rapportée : pilulier et applications de traçabilité/observance non considérés comme DM. MEDIPAC et imedipac sont distincts.
[S01] Règlement (UE) 2017/745 : art. 2 et annexe VIII
https://eur-lex.europa.eu/eli/reg/2017/745/oj?locale=fr
Qualification, destination, règles 3.3, 10, 11 et 12 ; intervention de l'organisme notifié : art. 52.
[S02] Commission européenne : MDCG 2019-11 rev. 1, juin 2025
https://health.ec.europa.eu/system/files/2025-06/mdcg_2019_11_en.pdf
Qualification et classification des logiciels ; périmètre des modules et conséquences des décisions.
Les deux phrases alternatives sont des propositions fictives pour répondre à la question 4, pas des citations du fabricant.</x:t>
        </x:r>
      </x:text>
    </x:comment>
    <x:comment ref="F13" authorId="0">
      <x:text>
        <x:r>
          <x:t>Périmètre retenu : Cas G : souris ergonomique 1 500 mAh + logiciel.
Sources consultées le 16 octobre 2026.
[S01] Règlement (UE) 2017/745 : art. 2 et annexe VIII
https://eur-lex.europa.eu/eli/reg/2017/745/oj?locale=fr
Qualification, destination, règles 3.3, 10, 11 et 12 ; intervention de l'organisme notifié : art. 52.
[S02] Commission européenne : MDCG 2019-11 rev. 1, juin 2025
https://health.ec.europa.eu/system/files/2025-06/mdcg_2019_11_en.pdf
Qualification et classification des logiciels ; périmètre des modules et conséquences des décisions.
Projet de l’équipe, sans fabricant ni certification existante. Finalité rédigée pour le TP. Hypothèse : recommandations non critiques sur les troubles musculosquelettiques.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<x:sst xmlns:x="http://schemas.openxmlformats.org/spreadsheetml/2006/main">
  <x:si>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Grille de classification — TP M3-1 « Bien-être ou dispositif médical ? »</x:t>
  </x:si>
  <x:si>
    <x:t xml:space="preserve">Module 3 — vendredi 16 octobre 2026 — MBA Santé, IA &amp; IoT — Epitech — Nicolas LAURIO</x:t>
  </x:si>
  <x:si>
    <x:t xml:space="preserve">Exercice d'entraînement : les classes données sont des classes « probables », à vérifier sur la notice et le certificat du fabricant.</x:t>
  </x:si>
  <x:si>
    <x:t xml:space="preserve">Légende des cellules</x:t>
  </x:si>
  <x:si>
    <x:t xml:space="preserve">Police bleue sur fond bleu pâle = à remplir par l'équipe (listes déroulantes en E, G, H et I).</x:t>
  </x:si>
  <x:si>
    <x:t xml:space="preserve">Fond gris = donné (produit, exemple réel, où chercher).</x:t>
  </x:si>
  <x:si>
    <x:t xml:space="preserve">Colonne K = vérification automatique : elle repère les réponses incohérentes. Ne pas l'écraser.</x:t>
  </x:si>
  <x:si>
    <x:t xml:space="preserve">La procédure en 4 questions (voir l'énoncé et le schéma « arbre de qualification »)</x:t>
  </x:si>
  <x:si>
    <x:t xml:space="preserve">(a) Le fabricant annonce-t-il une finalité médicale (diagnostiquer, prévenir, surveiller, prédire, traiter, atténuer une maladie, compenser un handicap) ? Non → Bien-être. Oui → Dispositif médical. Ça dépend de la phrase → À discuter.</x:t>
  </x:si>
  <x:si>
    <x:t xml:space="preserve">(b) Recopiez la phrase de la notice, de la publicité ou du site qui le prouve. C'est elle qui décide, pas le capteur.</x:t>
  </x:si>
  <x:si>
    <x:t xml:space="preserve">(c) Si dispositif médical : est-ce un logiciel ? Oui → règle 11. Non (objet physique) → autres règles (ex. règle 10 pour un appareil de mesure, règle 12 pour un appareil qui délivre un médicament).</x:t>
  </x:si>
  <x:si>
    <x:t xml:space="preserve">(d) Classe I → en général pas d'organisme notifié (le fabricant s'auto-déclare). Dès IIa → organisme notifié obligatoire (ex. GMED en France).</x:t>
  </x:si>
  <x:si>
    <x:t xml:space="preserve">Règle 11 en clair (logiciels)</x:t>
  </x:si>
  <x:si>
    <x:t xml:space="preserve">• Il aide à décider d'un diagnostic ou d'un traitement → IIa ; si une erreur peut causer une détérioration grave ou une opération → IIb ; la mort ou un dommage irréversible → III.</x:t>
  </x:si>
  <x:si>
    <x:t xml:space="preserve">• Il surveille le corps (processus physiologiques) → IIa ; des paramètres vitaux avec un danger immédiat → IIb.</x:t>
  </x:si>
  <x:si>
    <x:t xml:space="preserve">• Tous les autres cas → I. Conséquence : la plupart des logiciels médicaux sont au moins IIa.</x:t>
  </x:si>
  <x:si>
    <x:t xml:space="preserve">Astuce pour enquêter</x:t>
  </x:si>
  <x:si>
    <x:t xml:space="preserve">Sur la notice ou l'emballage, un numéro à 4 chiffres à côté du logo CE signale qu'un organisme notifié est intervenu. Les mots « clinique » ou « validé par des médecins » ne prouvent rien à eux seuls.</x:t>
  </x:si>
  <x:si>
    <x:t xml:space="preserve">Livrable</x:t>
  </x:si>
  <x:si>
    <x:t xml:space="preserve">Enregistrez sous grille_classification_eqNN.xlsx (NN = numéro d'équipe) dans analyses/m3/ du dépôt.</x:t>
  </x:si>
  <x:si>
    <x:t xml:space="preserve">Classer 8 produits réels</x:t>
  </x:si>
  <x:si>
    <x:t xml:space="preserve">N°</x:t>
  </x:si>
  <x:si>
    <x:t xml:space="preserve">Produit</x:t>
  </x:si>
  <x:si>
    <x:t xml:space="preserve">Où chercher</x:t>
  </x:si>
  <x:si>
    <x:t xml:space="preserve">(a) Bien-être ou dispositif médical ?</x:t>
  </x:si>
  <x:si>
    <x:t xml:space="preserve">(b) Phrase de la notice ou de la publicité qui le prouve</x:t>
  </x:si>
  <x:si>
    <x:t xml:space="preserve">(c) Classe probable</x:t>
  </x:si>
  <x:si>
    <x:t xml:space="preserve">(c) Règle utilisée</x:t>
  </x:si>
  <x:si>
    <x:t xml:space="preserve">(d) Organisme notifié ?</x:t>
  </x:si>
  <x:si>
    <x:t xml:space="preserve">Justification (2 lignes)</x:t>
  </x:si>
  <x:si>
    <x:t xml:space="preserve">Vérification automatique (ne pas modifier)</x:t>
  </x:si>
  <x:si>
    <x:t xml:space="preserve">Application ECG d'une montre connectée</x:t>
  </x:si>
  <x:si>
    <x:t xml:space="preserve">Page d'aide Apple « app ECG », notice de l'app</x:t>
  </x:si>
  <x:si>
    <x:t xml:space="preserve">Tensiomètre connecté (bras)</x:t>
  </x:si>
  <x:si>
    <x:t xml:space="preserve">Fiche produit, notice PDF (logo CE + numéro à 4 chiffres)</x:t>
  </x:si>
  <x:si>
    <x:t xml:space="preserve">Application de méditation et de sommeil</x:t>
  </x:si>
  <x:si>
    <x:t xml:space="preserve">Site de l'éditeur, fiche App Store / Google Play</x:t>
  </x:si>
  <x:si>
    <x:t xml:space="preserve">Balance connectée « multifonction »</x:t>
  </x:si>
  <x:si>
    <x:t xml:space="preserve">Fiche produit Withings, notice, FAQ « dispositif médical »</x:t>
  </x:si>
  <x:si>
    <x:t xml:space="preserve">Pompe à insuline patch</x:t>
  </x:si>
  <x:si>
    <x:t xml:space="preserve">Site Omnipod, notice, avis de l'ANSM</x:t>
  </x:si>
  <x:si>
    <x:t xml:space="preserve">Logiciel de télésurveillance cardiaque</x:t>
  </x:si>
  <x:si>
    <x:t xml:space="preserve">Site Implicity, avis de la HAS (IMPLICITY IM009)</x:t>
  </x:si>
  <x:si>
    <x:t xml:space="preserve">Détecteur de chute / téléassistance pour personne âgée (cas limite)</x:t>
  </x:si>
  <x:si>
    <x:t xml:space="preserve">Site de l'offre, conditions générales, notice du détecteur</x:t>
  </x:si>
  <x:si>
    <x:t xml:space="preserve">Pilulier connecté avec rappels (cas limite)</x:t>
  </x:si>
  <x:si>
    <x:t xml:space="preserve">Site Medissimo ; avis de la HAS sur MEDIPAC (21 juin 2022)</x:t>
  </x:si>
  <x:si>
    <x:t xml:space="preserve">Nombre de produits remplis (colonne E)</x:t>
  </x:si>
  <x:si>
    <x:t xml:space="preserve">Lignes « OK » (vérification automatique)</x:t>
  </x:si>
</x:sst>
</file>

<file path=xl/styles.xml><?xml version="1.0" encoding="utf-8"?>
<x:styleSheet xmlns:x="http://schemas.openxmlformats.org/spreadsheetml/2006/main">
  <x:fonts count="6">
    <x:font>
      <x:sz val="11"/>
      <x:color theme="1"/>
      <x:name val="Calibri"/>
      <x:family val="2"/>
      <x:scheme val="minor"/>
    </x:font>
    <x:font>
      <x:b/>
      <x:sz val="14"/>
      <x:name val="Calibri"/>
    </x:font>
    <x:font>
      <x:sz val="11"/>
      <x:color rgb="FF595959"/>
      <x:name val="Calibri"/>
    </x:font>
    <x:font>
      <x:b/>
      <x:sz val="11"/>
      <x:name val="Calibri"/>
    </x:font>
    <x:font>
      <x:sz val="11"/>
      <x:color rgb="FF0000FF"/>
      <x:name val="Calibri"/>
    </x:font>
    <x:font>
      <x:b/>
      <x:sz val="11"/>
      <x:color rgb="FFFFFFF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DDEBF7"/>
      </x:patternFill>
    </x:fill>
    <x:fill>
      <x:patternFill patternType="solid">
        <x:fgColor rgb="FF1F4E78"/>
      </x:patternFill>
    </x:fill>
    <x:fill>
      <x:patternFill patternType="solid">
        <x:fgColor rgb="FFF2F2F2"/>
      </x:patternFill>
    </x:fill>
  </x:fills>
  <x:borders count="2">
    <x:border>
      <x:left/>
      <x:right/>
      <x:top/>
      <x:bottom/>
      <x:diagonal/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Font="1" applyAlignment="1">
      <x:alignment vertical="top" wrapText="1"/>
    </x:xf>
    <x:xf numFmtId="0" fontId="2" fillId="0" borderId="0" xfId="0" applyFont="1" applyAlignment="1">
      <x:alignment vertical="top" wrapText="1"/>
    </x:xf>
    <x:xf numFmtId="0" fontId="3" fillId="0" borderId="0" xfId="0" applyFont="1" applyAlignment="1">
      <x:alignment vertical="top" wrapText="1"/>
    </x:xf>
    <x:xf numFmtId="0" fontId="0" fillId="0" borderId="0" xfId="0" applyAlignment="1">
      <x:alignment vertical="top" wrapText="1"/>
    </x:xf>
    <x:xf numFmtId="0" fontId="4" fillId="2" borderId="0" xfId="0" applyFont="1" applyFill="1" applyAlignment="1">
      <x:alignment vertical="top" wrapText="1"/>
    </x:xf>
    <x:xf numFmtId="0" fontId="1" fillId="0" borderId="0" xfId="0" applyFont="1"/>
    <x:xf numFmtId="0" fontId="2" fillId="0" borderId="0" xfId="0" applyFont="1"/>
    <x:xf numFmtId="0" fontId="5" fillId="3" borderId="1" xfId="0" applyFont="1" applyFill="1" applyBorder="1" applyAlignment="1">
      <x:alignment horizontal="center" vertical="center" wrapText="1"/>
    </x:xf>
    <x:xf numFmtId="0" fontId="0" fillId="4" borderId="1" xfId="0" applyFill="1" applyBorder="1" applyAlignment="1">
      <x:alignment vertical="top" wrapText="1"/>
    </x:xf>
    <x:xf numFmtId="0" fontId="4" fillId="2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3" fillId="0" borderId="0" xfId="0" applyFont="1"/>
  </x:cellXfs>
  <x:cellStyles count="1">
    <x:cellStyle name="Normal" xfId="0"/>
  </x:cellStyles>
  <x:dxfs count="2">
    <x:dxf>
      <x:fill>
        <x:patternFill>
          <x:bgColor rgb="FFFDE8DE"/>
        </x:patternFill>
      </x:fill>
    </x:dxf>
    <x:dxf>
      <x:fill>
        <x:patternFill>
          <x:bgColor rgb="FFDC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6279fa9d834ecf" /><Relationship Type="http://schemas.openxmlformats.org/officeDocument/2006/relationships/theme" Target="/xl/theme/theme1.xml" Id="Rbb3d2c64915a41c2" /><Relationship Type="http://schemas.openxmlformats.org/officeDocument/2006/relationships/sharedStrings" Target="/xl/sharedStrings.xml" Id="Rb8259ef143b64a4e" /><Relationship Type="http://schemas.openxmlformats.org/officeDocument/2006/relationships/worksheet" Target="/xl/worksheets/sheet1.xml" Id="Rd1f6b4878f354480" /><Relationship Type="http://schemas.openxmlformats.org/officeDocument/2006/relationships/worksheet" Target="/xl/worksheets/sheet2.xml" Id="Rfa7c5732f55340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38e714d74a934c42" /><Relationship Type="http://schemas.openxmlformats.org/officeDocument/2006/relationships/vmlDrawing" Target="/xl/drawings/vmldrawing.vml" Id="Rf5ee8de59ae84b77" /></Relationships>
</file>

<file path=xl/worksheets/sheet1.xml><?xml version="1.0" encoding="utf-8"?>
<x:worksheet xmlns:x="http://schemas.openxmlformats.org/spreadsheetml/2006/main">
  <x:sheetFormatPr defaultRowHeight="15"/>
  <x:cols>
    <x:col min="1" max="1" width="120" customWidth="1"/>
  </x:cols>
  <x:sheetData>
    <x:row r="1">
      <x:c r="A1" s="1" t="s">
        <x:v>0</x:v>
      </x:c>
    </x:row>
    <x:row r="2">
      <x:c r="A2" s="2" t="s">
        <x:v>1</x:v>
      </x:c>
    </x:row>
    <x:row r="3">
      <x:c r="A3" s="3" t="s">
        <x:v>2</x:v>
      </x:c>
    </x:row>
    <x:row r="4">
      <x:c r="A4" s="4"/>
    </x:row>
    <x:row r="5">
      <x:c r="A5" s="3" t="s">
        <x:v>3</x:v>
      </x:c>
    </x:row>
    <x:row r="6">
      <x:c r="A6" s="5" t="s">
        <x:v>4</x:v>
      </x:c>
    </x:row>
    <x:row r="7">
      <x:c r="A7" s="4" t="s">
        <x:v>5</x:v>
      </x:c>
    </x:row>
    <x:row r="8">
      <x:c r="A8" s="4" t="s">
        <x:v>6</x:v>
      </x:c>
    </x:row>
    <x:row r="9">
      <x:c r="A9" s="4"/>
    </x:row>
    <x:row r="10">
      <x:c r="A10" s="3" t="s">
        <x:v>7</x:v>
      </x:c>
    </x:row>
    <x:row r="11">
      <x:c r="A11" s="4" t="s">
        <x:v>8</x:v>
      </x:c>
    </x:row>
    <x:row r="12">
      <x:c r="A12" s="4" t="s">
        <x:v>9</x:v>
      </x:c>
    </x:row>
    <x:row r="13">
      <x:c r="A13" s="4" t="s">
        <x:v>10</x:v>
      </x:c>
    </x:row>
    <x:row r="14">
      <x:c r="A14" s="4" t="s">
        <x:v>11</x:v>
      </x:c>
    </x:row>
    <x:row r="15">
      <x:c r="A15" s="4"/>
    </x:row>
    <x:row r="16">
      <x:c r="A16" s="3" t="s">
        <x:v>12</x:v>
      </x:c>
    </x:row>
    <x:row r="17">
      <x:c r="A17" s="4" t="s">
        <x:v>13</x:v>
      </x:c>
    </x:row>
    <x:row r="18">
      <x:c r="A18" s="4" t="s">
        <x:v>14</x:v>
      </x:c>
    </x:row>
    <x:row r="19">
      <x:c r="A19" s="4" t="s">
        <x:v>15</x:v>
      </x:c>
    </x:row>
    <x:row r="20">
      <x:c r="A20" s="4"/>
    </x:row>
    <x:row r="21">
      <x:c r="A21" s="3" t="s">
        <x:v>16</x:v>
      </x:c>
    </x:row>
    <x:row r="22">
      <x:c r="A22" s="4" t="s">
        <x:v>17</x:v>
      </x:c>
    </x:row>
    <x:row r="23">
      <x:c r="A23" s="4"/>
    </x:row>
    <x:row r="24">
      <x:c r="A24" s="3" t="s">
        <x:v>18</x:v>
      </x:c>
    </x:row>
    <x:row r="25">
      <x:c r="A25" s="4" t="s">
        <x:v>19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2" ySplit="4" topLeftCell="C5" activePane="bottomRight" state="frozen"/>
    </x:sheetView>
  </x:sheetViews>
  <x:sheetFormatPr defaultRowHeight="15"/>
  <x:cols>
    <x:col min="1" max="1" width="5" customWidth="1"/>
    <x:col min="2" max="2" width="26" customWidth="1"/>
    <x:col min="3" max="3" width="30" customWidth="1"/>
    <x:col min="4" max="4" width="24" customWidth="1"/>
    <x:col min="5" max="5" width="20" customWidth="1"/>
    <x:col min="6" max="6" width="46" customWidth="1"/>
    <x:col min="7" max="7" width="12" customWidth="1"/>
    <x:col min="8" max="8" width="22" customWidth="1"/>
    <x:col min="9" max="9" width="13" customWidth="1"/>
    <x:col min="10" max="10" width="60" customWidth="1"/>
    <x:col min="11" max="11" width="34" customWidth="1"/>
  </x:cols>
  <x:sheetData>
    <x:row r="1">
      <x:c r="A1" s="6" t="s">
        <x:v>20</x:v>
      </x:c>
    </x:row>
    <x:row r="2">
      <x:c r="A2" s="7" t="str">
        <x:v>Un exemple précis par ligne. « — » = non applicable. Les classes probables et les régimes anciens sont précisés en J. Sources dans les notes des cellules F.</x:v>
      </x:c>
    </x:row>
    <x:row r="4" ht="45" customHeight="1">
      <x:c r="A4" s="8" t="s">
        <x:v>21</x:v>
      </x:c>
      <x:c r="B4" s="8" t="s">
        <x:v>22</x:v>
      </x:c>
      <x:c r="C4" s="8" t="str">
        <x:v>Exemple étudié</x:v>
      </x:c>
      <x:c r="D4" s="8" t="s">
        <x:v>23</x:v>
      </x:c>
      <x:c r="E4" s="8" t="s">
        <x:v>24</x:v>
      </x:c>
      <x:c r="F4" s="8" t="s">
        <x:v>25</x:v>
      </x:c>
      <x:c r="G4" s="8" t="s">
        <x:v>26</x:v>
      </x:c>
      <x:c r="H4" s="8" t="s">
        <x:v>27</x:v>
      </x:c>
      <x:c r="I4" s="8" t="s">
        <x:v>28</x:v>
      </x:c>
      <x:c r="J4" s="8" t="s">
        <x:v>29</x:v>
      </x:c>
      <x:c r="K4" s="8" t="s">
        <x:v>30</x:v>
      </x:c>
    </x:row>
    <x:row r="5" ht="110" customHeight="1">
      <x:c r="A5" s="9">
        <x:v>1</x:v>
      </x:c>
      <x:c r="B5" s="9" t="s">
        <x:v>31</x:v>
      </x:c>
      <x:c r="C5" s="9" t="str">
        <x:v>App ECG de l’Apple Watch (Apple), version 2.0 UE</x:v>
      </x:c>
      <x:c r="D5" s="9" t="s">
        <x:v>32</x:v>
      </x:c>
      <x:c r="E5" s="10" t="str">
        <x:v>Dispositif médical</x:v>
      </x:c>
      <x:c r="F5" s="10" t="str">
        <x:v>« analyser les données relevées pour détecter d’éventuels signes de fibrillation auriculaire (FA), un trouble du rythme cardiaque. »</x:v>
      </x:c>
      <x:c r="G5" s="10" t="str">
        <x:v>IIa</x:v>
      </x:c>
      <x:c r="H5" s="10" t="str">
        <x:v>Règle 11 (logiciel)</x:v>
      </x:c>
      <x:c r="I5" s="10" t="str">
        <x:v>Oui</x:v>
      </x:c>
      <x:c r="J5" s="10" t="str">
        <x:v>L’app repère des signes de fibrillation auriculaire. IIa est la proposition du TP pour l’usage décrit, à confirmer sur le certificat UE exact. La montre entière n’est pas un DM. Une aide au diagnostic à risque plus élevé peut relever de IIb ou III.</x:v>
      </x:c>
      <x:c r="K5" s="11" t="str">
        <x:f>IF(E5="","",IF(AND(E5="Bien-être",G5&lt;&gt;"—",G5&lt;&gt;""),"À revoir : un produit bien-être n'a pas de classe (—)",IF(AND(E5="Dispositif médical",OR(G5="—",G5="")),"Indiquez une classe : I, IIa, IIb ou III",IF(AND(OR(G5="IIa",G5="IIb",G5="III"),I5="Non"),"À revoir : dès IIa, organisme notifié",IF(AND(G5="I",I5="Oui"),"À vérifier : classe I = en général auto-déclaration",IF(F5="","Ajoutez la phrase qui prouve la finalité","OK"))))))</x:f>
        <x:v>OK</x:v>
      </x:c>
    </x:row>
    <x:row r="6" ht="100" customHeight="1">
      <x:c r="A6" s="9">
        <x:v>2</x:v>
      </x:c>
      <x:c r="B6" s="9" t="s">
        <x:v>33</x:v>
      </x:c>
      <x:c r="C6" s="9" t="str">
        <x:v>Withings BPM Connect</x:v>
      </x:c>
      <x:c r="D6" s="9" t="s">
        <x:v>34</x:v>
      </x:c>
      <x:c r="E6" s="10" t="str">
        <x:v>Dispositif médical</x:v>
      </x:c>
      <x:c r="F6" s="10" t="str">
        <x:v>« c’est un outil de diagnostic de qualité médicale »</x:v>
      </x:c>
      <x:c r="G6" s="10" t="str">
        <x:v>IIa</x:v>
      </x:c>
      <x:c r="H6" s="10" t="str">
        <x:v>Règle 10 (appareil de mesure)</x:v>
      </x:c>
      <x:c r="I6" s="10" t="str">
        <x:v>Oui</x:v>
      </x:c>
      <x:c r="J6" s="10" t="str">
        <x:v>Le brassard mesure la pression artérielle pour le suivi de l’hypertension. Appareil actif de mesure : règle 10, classe IIa, organisme notifié requis. Le Bluetooth ne détermine pas la classe.</x:v>
      </x:c>
      <x:c r="K6" s="11" t="str">
        <x:f>IF(E6="","",IF(AND(E6="Bien-être",G6&lt;&gt;"—",G6&lt;&gt;""),"À revoir : un produit bien-être n'a pas de classe (—)",IF(AND(E6="Dispositif médical",OR(G6="—",G6="")),"Indiquez une classe : I, IIa, IIb ou III",IF(AND(OR(G6="IIa",G6="IIb",G6="III"),I6="Non"),"À revoir : dès IIa, organisme notifié",IF(AND(G6="I",I6="Oui"),"À vérifier : classe I = en général auto-déclaration",IF(F6="","Ajoutez la phrase qui prouve la finalité","OK"))))))</x:f>
        <x:v>OK</x:v>
      </x:c>
    </x:row>
    <x:row r="7" ht="100" customHeight="1">
      <x:c r="A7" s="9">
        <x:v>3</x:v>
      </x:c>
      <x:c r="B7" s="9" t="s">
        <x:v>35</x:v>
      </x:c>
      <x:c r="C7" s="9" t="str">
        <x:v>Petit BamBou : application Sommeil</x:v>
      </x:c>
      <x:c r="D7" s="9" t="s">
        <x:v>36</x:v>
      </x:c>
      <x:c r="E7" s="10" t="str">
        <x:v>Bien-être</x:v>
      </x:c>
      <x:c r="F7" s="10" t="str">
        <x:v>« Sommeil avec Petit BamBou propose une approche naturelle et non médicale »</x:v>
      </x:c>
      <x:c r="G7" s="10" t="str">
        <x:v>—</x:v>
      </x:c>
      <x:c r="H7" s="10" t="str">
        <x:v>—</x:v>
      </x:c>
      <x:c r="I7" s="10" t="str">
        <x:v>Non</x:v>
      </x:c>
      <x:c r="J7" s="10" t="str">
        <x:v>L’éditeur annonce une approche non médicale pour améliorer le sommeil. Conclusion : bien-être. Classe et règle MDR non applicables (—), sans organisme notifié médical. Calm et Headspace ne sont pas les exemples retenus.</x:v>
      </x:c>
      <x:c r="K7" s="11" t="str">
        <x:f>IF(E7="","",IF(AND(E7="Bien-être",G7&lt;&gt;"—",G7&lt;&gt;""),"À revoir : un produit bien-être n'a pas de classe (—)",IF(AND(E7="Dispositif médical",OR(G7="—",G7="")),"Indiquez une classe : I, IIa, IIb ou III",IF(AND(OR(G7="IIa",G7="IIb",G7="III"),I7="Non"),"À revoir : dès IIa, organisme notifié",IF(AND(G7="I",I7="Oui"),"À vérifier : classe I = en général auto-déclaration",IF(F7="","Ajoutez la phrase qui prouve la finalité","OK"))))))</x:f>
        <x:v>OK</x:v>
      </x:c>
    </x:row>
    <x:row r="8" ht="125" customHeight="1">
      <x:c r="A8" s="9">
        <x:v>4</x:v>
      </x:c>
      <x:c r="B8" s="9" t="s">
        <x:v>37</x:v>
      </x:c>
      <x:c r="C8" s="9" t="str">
        <x:v>Withings BodyScan 2 : fonction ECG Monitor 2. Comparaison : BodyFit.</x:v>
      </x:c>
      <x:c r="D8" s="9" t="s">
        <x:v>38</x:v>
      </x:c>
      <x:c r="E8" s="10" t="str">
        <x:v>Dispositif médical</x:v>
      </x:c>
      <x:c r="F8" s="10" t="str">
        <x:v>« La détection de la fibrillation auriculaire est disponible via Withings ECG Monitor 2 »</x:v>
      </x:c>
      <x:c r="G8" s="10" t="str">
        <x:v>IIa</x:v>
      </x:c>
      <x:c r="H8" s="10" t="str">
        <x:v>Règle 11 (logiciel)</x:v>
      </x:c>
      <x:c r="I8" s="10" t="str">
        <x:v>Oui</x:v>
      </x:c>
      <x:c r="J8" s="10" t="str">
        <x:v>La fonction ECG est médicale. IIa/règle 11 reste une proposition pour l’analyse, certificat exact à vérifier. Elle ne classe pas toute la balance. BodyFit est présenté comme non médical. La déclaration ECG App Display concerne un autre module.</x:v>
      </x:c>
      <x:c r="K8" s="11" t="str">
        <x:f>IF(E8="","",IF(AND(E8="Bien-être",G8&lt;&gt;"—",G8&lt;&gt;""),"À revoir : un produit bien-être n'a pas de classe (—)",IF(AND(E8="Dispositif médical",OR(G8="—",G8="")),"Indiquez une classe : I, IIa, IIb ou III",IF(AND(OR(G8="IIa",G8="IIb",G8="III"),I8="Non"),"À revoir : dès IIa, organisme notifié",IF(AND(G8="I",I8="Oui"),"À vérifier : classe I = en général auto-déclaration",IF(F8="","Ajoutez la phrase qui prouve la finalité","OK"))))))</x:f>
        <x:v>OK</x:v>
      </x:c>
    </x:row>
    <x:row r="9" ht="110" customHeight="1">
      <x:c r="A9" s="9">
        <x:v>5</x:v>
      </x:c>
      <x:c r="B9" s="9" t="s">
        <x:v>39</x:v>
      </x:c>
      <x:c r="C9" s="9" t="str">
        <x:v>Omnipod DASH (Insulet)</x:v>
      </x:c>
      <x:c r="D9" s="9" t="s">
        <x:v>40</x:v>
      </x:c>
      <x:c r="E9" s="10" t="str">
        <x:v>Dispositif médical</x:v>
      </x:c>
      <x:c r="F9" s="10" t="str">
        <x:v>« destiné à l’administration sous-cutanée d’insuline à des débits fixes et variables »</x:v>
      </x:c>
      <x:c r="G9" s="10" t="str">
        <x:v>IIb</x:v>
      </x:c>
      <x:c r="H9" s="10" t="str">
        <x:v>Règle 12 (administre un médicament)</x:v>
      </x:c>
      <x:c r="I9" s="10" t="str">
        <x:v>Oui</x:v>
      </x:c>
      <x:c r="J9" s="10" t="str">
        <x:v>DASH administre de l’insuline. Une erreur de dose ou de débit peut être dangereuse : règle 12, IIb, organisme notifié requis. Ce classement ne s’étend pas automatiquement aux autres versions Omnipod.</x:v>
      </x:c>
      <x:c r="K9" s="11" t="str">
        <x:f>IF(E9="","",IF(AND(E9="Bien-être",G9&lt;&gt;"—",G9&lt;&gt;""),"À revoir : un produit bien-être n'a pas de classe (—)",IF(AND(E9="Dispositif médical",OR(G9="—",G9="")),"Indiquez une classe : I, IIa, IIb ou III",IF(AND(OR(G9="IIa",G9="IIb",G9="III"),I9="Non"),"À revoir : dès IIa, organisme notifié",IF(AND(G9="I",I9="Oui"),"À vérifier : classe I = en général auto-déclaration",IF(F9="","Ajoutez la phrase qui prouve la finalité","OK"))))))</x:f>
        <x:v>OK</x:v>
      </x:c>
    </x:row>
    <x:row r="10" ht="150" customHeight="1">
      <x:c r="A10" s="9">
        <x:v>6</x:v>
      </x:c>
      <x:c r="B10" s="9" t="s">
        <x:v>41</x:v>
      </x:c>
      <x:c r="C10" s="9" t="str">
        <x:v>Implicity IM009 : classe I déclarée sous la directive 93/42/CEE</x:v>
      </x:c>
      <x:c r="D10" s="9" t="s">
        <x:v>42</x:v>
      </x:c>
      <x:c r="E10" s="10" t="str">
        <x:v>Dispositif médical</x:v>
      </x:c>
      <x:c r="F10" s="10" t="str">
        <x:v>« create clinically relevant observations for worsening atrial fibrillation »
Traduction : créer des observations cliniquement pertinentes sur l'aggravation de la fibrillation auriculaire.</x:v>
      </x:c>
      <x:c r="G10" s="10" t="str">
        <x:v>I</x:v>
      </x:c>
      <x:c r="H10" s="10" t="str">
        <x:v>Autre (préciser)</x:v>
      </x:c>
      <x:c r="I10" s="10" t="str">
        <x:v>Non</x:v>
      </x:c>
      <x:c r="J10" s="10" t="str">
        <x:v>G et I décrivent la classe I déclarée sous l’ancienne directive et sa procédure initiale sans ON. La règle précise de cette déclaration n’est pas fournie. Sous MDR : règle 11 ; classe actuelle et intervention de l’ON à confirmer. Ne pas présenter IIa comme une certification d’IM009.</x:v>
      </x:c>
      <x:c r="K10" s="11" t="str">
        <x:f>IF(E10="","",IF(AND(E10="Bien-être",G10&lt;&gt;"—",G10&lt;&gt;""),"À revoir : un produit bien-être n'a pas de classe (—)",IF(AND(E10="Dispositif médical",OR(G10="—",G10="")),"Indiquez une classe : I, IIa, IIb ou III",IF(AND(OR(G10="IIa",G10="IIb",G10="III"),I10="Non"),"À revoir : dès IIa, organisme notifié",IF(AND(G10="I",I10="Oui"),"À vérifier : classe I = en général auto-déclaration",IF(F10="","Ajoutez la phrase qui prouve la finalité","OK"))))))</x:f>
        <x:v>OK</x:v>
      </x:c>
    </x:row>
    <x:row r="11" ht="150" customHeight="1">
      <x:c r="A11" s="9">
        <x:v>7</x:v>
      </x:c>
      <x:c r="B11" s="9" t="s">
        <x:v>43</x:v>
      </x:c>
      <x:c r="C11" s="9" t="str">
        <x:v>Apple Watch : fonction Détection des chutes et appel des secours</x:v>
      </x:c>
      <x:c r="D11" s="9" t="s">
        <x:v>44</x:v>
      </x:c>
      <x:c r="E11" s="10" t="str">
        <x:v>Bien-être</x:v>
      </x:c>
      <x:c r="F11" s="10" t="str">
        <x:v>Apple : « Si l’Apple Watch détecte une mauvaise chute, elle peut vous mettre en relation avec les services d’urgence. »
Usage retenu : assistance de sécurité.
Question 4, propositions fictives :
Bien-être : « Appelle un proche après une chute. »
Médical : « Analyse la marche pour aider au diagnostic d’une maladie neurologique. »</x:v>
      </x:c>
      <x:c r="G11" s="10" t="str">
        <x:v>—</x:v>
      </x:c>
      <x:c r="H11" s="10" t="str">
        <x:v>—</x:v>
      </x:c>
      <x:c r="I11" s="10" t="str">
        <x:v>Non</x:v>
      </x:c>
      <x:c r="J11" s="10" t="str">
        <x:v>Position retenue : assistance de sécurité, hors DM pour l’usage décrit. La fonction détecte une chute et appelle les secours, sans diagnostic revendiqué dans la page consultée. Classe/règle MDR non applicables (—), ON médical non requis. « Bien-être » est la catégorie non-DM du modèle.</x:v>
      </x:c>
      <x:c r="K11" s="11" t="str">
        <x:f>IF(E11="","",IF(AND(E11="Bien-être",G11&lt;&gt;"—",G11&lt;&gt;""),"À revoir : un produit bien-être n'a pas de classe (—)",IF(AND(E11="Dispositif médical",OR(G11="—",G11="")),"Indiquez une classe : I, IIa, IIb ou III",IF(AND(OR(G11="IIa",G11="IIb",G11="III"),I11="Non"),"À revoir : dès IIa, organisme notifié",IF(AND(G11="I",I11="Oui"),"À vérifier : classe I = en général auto-déclaration",IF(F11="","Ajoutez la phrase qui prouve la finalité","OK"))))))</x:f>
        <x:v>OK</x:v>
      </x:c>
    </x:row>
    <x:row r="12" ht="150" customHeight="1">
      <x:c r="A12" s="9">
        <x:v>8</x:v>
      </x:c>
      <x:c r="B12" s="9" t="s">
        <x:v>45</x:v>
      </x:c>
      <x:c r="C12" s="9" t="str">
        <x:v>Medissimo imedipac : rappels et suivi des prises (produit historique)</x:v>
      </x:c>
      <x:c r="D12" s="9" t="s">
        <x:v>46</x:v>
      </x:c>
      <x:c r="E12" s="10" t="str">
        <x:v>Bien-être</x:v>
      </x:c>
      <x:c r="F12" s="10" t="str">
        <x:v>Étude imedipac : « pour assurer l’observance de la délivrance médicamenteuse en temps réel ».
Usage retenu : rappels et traçabilité.
Question 4, propositions fictives :
Bien-être : « Rappelle les horaires de prise saisis. »
Médical : « Analyse les prises pour recommander au médecin un ajustement du traitement. »</x:v>
      </x:c>
      <x:c r="G12" s="10" t="str">
        <x:v>—</x:v>
      </x:c>
      <x:c r="H12" s="10" t="str">
        <x:v>—</x:v>
      </x:c>
      <x:c r="I12" s="10" t="str">
        <x:v>Non</x:v>
      </x:c>
      <x:c r="J12" s="10" t="str">
        <x:v>Position retenue pour les rappels et la traçabilité : organisation des prises, hors DM. Classe/règle MDR non applicables (—), ON médical non requis. L’ouverture d’une case ne prouve pas l’ingestion. imedipac a été retiré en 2018 ; l’avis HAS sur MEDIPAC ne certifie pas ce modèle distinct.</x:v>
      </x:c>
      <x:c r="K12" s="11" t="str">
        <x:f>IF(E12="","",IF(AND(E12="Bien-être",G12&lt;&gt;"—",G12&lt;&gt;""),"À revoir : un produit bien-être n'a pas de classe (—)",IF(AND(E12="Dispositif médical",OR(G12="—",G12="")),"Indiquez une classe : I, IIa, IIb ou III",IF(AND(OR(G12="IIa",G12="IIb",G12="III"),I12="Non"),"À revoir : dès IIa, organisme notifié",IF(AND(G12="I",I12="Oui"),"À vérifier : classe I = en général auto-déclaration",IF(F12="","Ajoutez la phrase qui prouve la finalité","OK"))))))</x:f>
        <x:v>OK</x:v>
      </x:c>
    </x:row>
    <x:row r="13" ht="145" customHeight="1">
      <x:c r="A13" s="11">
        <x:v>9</x:v>
      </x:c>
      <x:c r="B13" s="10" t="str">
        <x:v>Votre projet - cas G : souris ergonomique 1 500 mAh + logiciel</x:v>
      </x:c>
      <x:c r="C13" s="10" t="str">
        <x:v>Cas G : souris ergonomique 1 500 mAh et logiciel de recommandations médicales</x:v>
      </x:c>
      <x:c r="D13" s="10" t="str">
        <x:v>Finalité proposée pour le TP. Sources réglementaires dans la note F13 et dans le PDF du cas G.</x:v>
      </x:c>
      <x:c r="E13" s="10" t="str">
        <x:v>Dispositif médical</x:v>
      </x:c>
      <x:c r="F13" s="10" t="str">
        <x:v>Finalité proposée pour le TP : « Analyse les gestes de la main et du poignet pour fournir au professionnel de santé des recommandations personnalisées de prise en charge des troubles musculosquelettiques. »</x:v>
      </x:c>
      <x:c r="G13" s="10" t="str">
        <x:v>IIa</x:v>
      </x:c>
      <x:c r="H13" s="10" t="str">
        <x:v>Règle 11 (logiciel)</x:v>
      </x:c>
      <x:c r="I13" s="10" t="str">
        <x:v>Oui</x:v>
      </x:c>
      <x:c r="J13" s="10" t="str">
        <x:v>Le logiciel prévu aide un professionnel à choisir une prise en charge des TMS. IIa probable sous l’hypothèse d’un usage non critique, à confirmer par l’analyse des conséquences d’une erreur. Le prototype n’est pas certifié et son efficacité clinique n’est pas démontrée.</x:v>
      </x:c>
      <x:c r="K13" s="11" t="str">
        <x:f>IF(E13="","",IF(AND(E13="Bien-être",G13&lt;&gt;"—",G13&lt;&gt;""),"À revoir : un produit bien-être n'a pas de classe (—)",IF(AND(E13="Dispositif médical",OR(G13="—",G13="")),"Indiquez une classe : I, IIa, IIb ou III",IF(AND(OR(G13="IIa",G13="IIb",G13="III"),I13="Non"),"À revoir : dès IIa, organisme notifié",IF(AND(G13="I",I13="Oui"),"À vérifier : classe I = en général auto-déclaration",IF(F13="","Ajoutez la phrase qui prouve la finalité","OK"))))))</x:f>
        <x:v>OK</x:v>
      </x:c>
    </x:row>
    <x:row r="15">
      <x:c r="B15" s="12" t="s">
        <x:v>47</x:v>
      </x:c>
      <x:c r="E15" t="n">
        <x:f>COUNTA(E5:E13)</x:f>
        <x:v>9</x:v>
      </x:c>
    </x:row>
    <x:row r="16">
      <x:c r="B16" s="12" t="s">
        <x:v>48</x:v>
      </x:c>
      <x:c r="E16" t="n">
        <x:f>COUNTIF(K5:K13,"OK")</x:f>
        <x:v>9</x:v>
      </x:c>
    </x:row>
  </x:sheetData>
  <x:conditionalFormatting sqref="K5:K13">
    <x:cfRule type="expression" dxfId="1" priority="1">
      <x:formula>K5="OK"</x:formula>
    </x:cfRule>
    <x:cfRule type="expression" dxfId="0" priority="2">
      <x:formula>AND(K5&lt;&gt;"",K5&lt;&gt;"OK")</x:formula>
    </x:cfRule>
  </x:conditionalFormatting>
  <x:dataValidations count="4">
    <x:dataValidation type="list" allowBlank="1" errorTitle="Valeur non prévue" error="Choisissez une valeur de la liste." promptTitle="Choix" prompt="Bien-être, Dispositif médical ou À discuter" sqref="E5 E6 E7 E8 E9 E10 E11 E12 E13">
      <x:formula1>"Bien-être,Dispositif médical,À discuter"</x:formula1>
    </x:dataValidation>
    <x:dataValidation type="list" allowBlank="1" errorTitle="Valeur non prévue" error="Choisissez une valeur de la liste." promptTitle="Choix" prompt="I, IIa, IIb, III ou —" sqref="G5 G6 G7 G8 G9 G10 G11 G12 G13">
      <x:formula1>"I,IIa,IIb,III,—"</x:formula1>
    </x:dataValidation>
    <x:dataValidation type="list" allowBlank="1" errorTitle="Valeur non prévue" error="Choisissez une valeur de la liste." promptTitle="Choix" prompt="Oui ou Non" sqref="I5 I6 I7 I8 I9 I10 I11 I12 I13">
      <x:formula1>"Oui,Non"</x:formula1>
    </x:dataValidation>
    <x:dataValidation type="list" allowBlank="1" errorTitle="Valeur non prévue" error="Choisissez une valeur de la liste." promptTitle="Choix" prompt="Choisissez une règle ou écrivez-la" sqref="H5 H6 H7 H8 H9 H10 H11 H12 H13">
      <x:formula1>"Règle 11 (logiciel),Règle 10 (appareil de mesure),Règle 12 (administre un médicament),Règle 13 (autre appareil actif),Autre (préciser),—"</x:formula1>
    </x:dataValidation>
  </x:dataValidations>
  <x:pageMargins left="0.7" right="0.7" top="0.75" bottom="0.75" header="0.3" footer="0.3"/>
  <x:legacyDrawing xmlns:r="http://schemas.openxmlformats.org/officeDocument/2006/relationships" r:id="Rf5ee8de59ae84b77"/>
</x:worksheet>
</file>