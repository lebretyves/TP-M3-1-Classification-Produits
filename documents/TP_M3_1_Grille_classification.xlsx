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11_28432D2F7C13C85A1ED3535F72453A64DB6E7834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Lisez-moi" sheetId="1" r:id="rId1"/>
    <sheet name="Grille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2" l="1"/>
  <c r="E15" i="2"/>
  <c r="K13" i="2"/>
  <c r="K12" i="2"/>
  <c r="K11" i="2"/>
  <c r="K10" i="2"/>
  <c r="K9" i="2"/>
  <c r="K8" i="2"/>
  <c r="K7" i="2"/>
  <c r="K6" i="2"/>
  <c r="K5" i="2"/>
</calcChain>
</file>

<file path=xl/sharedStrings.xml><?xml version="1.0" encoding="utf-8"?>
<sst xmlns="http://schemas.openxmlformats.org/spreadsheetml/2006/main" count="60" uniqueCount="60">
  <si>
    <t>Grille de classification — TP M3-1 « Bien-être ou dispositif médical ? »</t>
  </si>
  <si>
    <t>Module 3 — vendredi 16 octobre 2026 — MBA Santé, IA &amp; IoT — Epitech — Nicolas LAURIO</t>
  </si>
  <si>
    <t>Exercice d'entraînement : les classes données sont des classes « probables », à vérifier sur la notice et le certificat du fabricant.</t>
  </si>
  <si>
    <t>Légende des cellules</t>
  </si>
  <si>
    <t>Police bleue sur fond bleu pâle = à remplir par l'équipe (listes déroulantes en E, G, H et I).</t>
  </si>
  <si>
    <t>Fond gris = donné (produit, exemple réel, où chercher).</t>
  </si>
  <si>
    <t>Colonne K = vérification automatique : elle repère les réponses incohérentes. Ne pas l'écraser.</t>
  </si>
  <si>
    <t>La procédure en 4 questions (voir l'énoncé et le schéma « arbre de qualification »)</t>
  </si>
  <si>
    <t>(a) Le fabricant annonce-t-il une finalité médicale (diagnostiquer, prévenir, surveiller, prédire, traiter, atténuer une maladie, compenser un handicap) ? Non → Bien-être. Oui → Dispositif médical. Ça dépend de la phrase → À discuter.</t>
  </si>
  <si>
    <t>(b) Recopiez la phrase de la notice, de la publicité ou du site qui le prouve. C'est elle qui décide, pas le capteur.</t>
  </si>
  <si>
    <t>(c) Si dispositif médical : est-ce un logiciel ? Oui → règle 11. Non (objet physique) → autres règles (ex. règle 10 pour un appareil de mesure, règle 12 pour un appareil qui délivre un médicament).</t>
  </si>
  <si>
    <t>(d) Classe I → en général pas d'organisme notifié (le fabricant s'auto-déclare). Dès IIa → organisme notifié obligatoire (ex. GMED en France).</t>
  </si>
  <si>
    <t>Règle 11 en clair (logiciels)</t>
  </si>
  <si>
    <t>• Il aide à décider d'un diagnostic ou d'un traitement → IIa ; si une erreur peut causer une détérioration grave ou une opération → IIb ; la mort ou un dommage irréversible → III.</t>
  </si>
  <si>
    <t>• Il surveille le corps (processus physiologiques) → IIa ; des paramètres vitaux avec un danger immédiat → IIb.</t>
  </si>
  <si>
    <t>• Tous les autres cas → I. Conséquence : la plupart des logiciels médicaux sont au moins IIa.</t>
  </si>
  <si>
    <t>Astuce pour enquêter</t>
  </si>
  <si>
    <t>Sur la notice ou l'emballage, un numéro à 4 chiffres à côté du logo CE signale qu'un organisme notifié est intervenu. Les mots « clinique » ou « validé par des médecins » ne prouvent rien à eux seuls.</t>
  </si>
  <si>
    <t>Livrable</t>
  </si>
  <si>
    <t>Enregistrez sous grille_classification_eqNN.xlsx (NN = numéro d'équipe) dans analyses/m3/ du dépôt.</t>
  </si>
  <si>
    <t>Classer 8 produits réels</t>
  </si>
  <si>
    <t>Une ligne par produit. Listes déroulantes en E, G, H, I. « (à vérifier) » = information à confirmer sur la notice ou le certificat du fabricant.</t>
  </si>
  <si>
    <t>N°</t>
  </si>
  <si>
    <t>Produit</t>
  </si>
  <si>
    <t>Exemple réel à chercher</t>
  </si>
  <si>
    <t>Où chercher</t>
  </si>
  <si>
    <t>(a) Bien-être ou dispositif médical ?</t>
  </si>
  <si>
    <t>(b) Phrase de la notice ou de la publicité qui le prouve</t>
  </si>
  <si>
    <t>(c) Classe probable</t>
  </si>
  <si>
    <t>(c) Règle utilisée</t>
  </si>
  <si>
    <t>(d) Organisme notifié ?</t>
  </si>
  <si>
    <t>Justification (2 lignes)</t>
  </si>
  <si>
    <t>Vérification automatique (ne pas modifier)</t>
  </si>
  <si>
    <t>Application ECG d'une montre connectée</t>
  </si>
  <si>
    <t>App ECG de l'Apple Watch (Apple)</t>
  </si>
  <si>
    <t>Page d'aide Apple « app ECG », notice de l'app</t>
  </si>
  <si>
    <t>Tensiomètre connecté (bras)</t>
  </si>
  <si>
    <t>Withings BPM Connect, ou un tensiomètre Omron connecté</t>
  </si>
  <si>
    <t>Fiche produit, notice PDF (logo CE + numéro à 4 chiffres)</t>
  </si>
  <si>
    <t>Application de méditation et de sommeil</t>
  </si>
  <si>
    <t>Petit BamBou (ou Calm, Headspace)</t>
  </si>
  <si>
    <t>Site de l'éditeur, fiche App Store / Google Play</t>
  </si>
  <si>
    <t>Balance connectée « multifonction »</t>
  </si>
  <si>
    <t>Withings Body Scan 2 (juin 2026, 500 €) ; à comparer avec Withings BodyFit (juillet 2026)</t>
  </si>
  <si>
    <t>Fiche produit Withings, notice, FAQ « dispositif médical »</t>
  </si>
  <si>
    <t>Pompe à insuline patch</t>
  </si>
  <si>
    <t>Omnipod (Insulet) ; rappel de lots de pods par l'ANSM le 3 juin 2026</t>
  </si>
  <si>
    <t>Site Omnipod, notice, avis de l'ANSM</t>
  </si>
  <si>
    <t>Logiciel de télésurveillance cardiaque</t>
  </si>
  <si>
    <t>Implicity (inscrit le 20 mai 2026 sur la liste des télésurveillances remboursées) ; comparer avec LATITUDE CLARITY (3 mars 2026)</t>
  </si>
  <si>
    <t>Site Implicity, avis de la HAS (IMPLICITY IM009)</t>
  </si>
  <si>
    <t>Détecteur de chute / téléassistance pour personne âgée (cas limite)</t>
  </si>
  <si>
    <t>Détection des chutes d'une montre connectée ; offre de téléassistance avec détecteur de chute (ex. Présence Verte ou l'offre de votre département)</t>
  </si>
  <si>
    <t>Site de l'offre, conditions générales, notice du détecteur</t>
  </si>
  <si>
    <t>Pilulier connecté avec rappels (cas limite)</t>
  </si>
  <si>
    <t>Medissimo imedipac (pilulier connecté français)</t>
  </si>
  <si>
    <t>Site Medissimo ; avis de la HAS sur MEDIPAC (21 juin 2022)</t>
  </si>
  <si>
    <t>Votre projet (cas A à F) : écrivez sa finalité en une phrase en F</t>
  </si>
  <si>
    <t>Nombre de produits remplis (colonne E)</t>
  </si>
  <si>
    <t>Lignes « OK » (vérification automatique)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</si>
</sst>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rgb="FF595959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0" fontId="1" fillId="0" borderId="0" xfId="0" applyFont="1"/>
    <xf numFmtId="0" fontId="2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fgColor rgb="FFFDE8DE"/>
        </patternFill>
      </fill>
    </dxf>
    <dxf>
      <fill>
        <patternFill patternType="solid">
          <fgColor rgb="FFDCF4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defaultRowHeight="15"/>
  <cols>
    <col min="1" max="1" width="120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4"/>
    </row>
    <row r="5" spans="1:1">
      <c r="A5" s="3" t="s">
        <v>3</v>
      </c>
    </row>
    <row r="6" spans="1:1">
      <c r="A6" s="5" t="s">
        <v>4</v>
      </c>
    </row>
    <row r="7" spans="1:1">
      <c r="A7" s="4" t="s">
        <v>5</v>
      </c>
    </row>
    <row r="8" spans="1:1">
      <c r="A8" s="4" t="s">
        <v>6</v>
      </c>
    </row>
    <row r="9" spans="1:1">
      <c r="A9" s="4"/>
    </row>
    <row r="10" spans="1:1">
      <c r="A10" s="3" t="s">
        <v>7</v>
      </c>
    </row>
    <row r="11" spans="1:1">
      <c r="A11" s="4" t="s">
        <v>8</v>
      </c>
    </row>
    <row r="12" spans="1:1">
      <c r="A12" s="4" t="s">
        <v>9</v>
      </c>
    </row>
    <row r="13" spans="1:1">
      <c r="A13" s="4" t="s">
        <v>10</v>
      </c>
    </row>
    <row r="14" spans="1:1">
      <c r="A14" s="4" t="s">
        <v>11</v>
      </c>
    </row>
    <row r="15" spans="1:1">
      <c r="A15" s="4"/>
    </row>
    <row r="16" spans="1:1">
      <c r="A16" s="3" t="s">
        <v>12</v>
      </c>
    </row>
    <row r="17" spans="1:1">
      <c r="A17" s="4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4"/>
    </row>
    <row r="21" spans="1:1">
      <c r="A21" s="3" t="s">
        <v>16</v>
      </c>
    </row>
    <row r="22" spans="1:1">
      <c r="A22" s="4" t="s">
        <v>17</v>
      </c>
    </row>
    <row r="23" spans="1:1">
      <c r="A23" s="4"/>
    </row>
    <row r="24" spans="1:1">
      <c r="A24" s="3" t="s">
        <v>18</v>
      </c>
    </row>
    <row r="25" spans="1:1">
      <c r="A25" s="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zoomScale="90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5" customWidth="1"/>
    <col min="2" max="2" width="26" customWidth="1"/>
    <col min="3" max="3" width="30" customWidth="1"/>
    <col min="4" max="4" width="24" customWidth="1"/>
    <col min="5" max="5" width="20" customWidth="1"/>
    <col min="6" max="6" width="46" customWidth="1"/>
    <col min="7" max="7" width="12" customWidth="1"/>
    <col min="8" max="8" width="22" customWidth="1"/>
    <col min="9" max="9" width="13" customWidth="1"/>
    <col min="10" max="10" width="60" customWidth="1"/>
    <col min="11" max="11" width="34" customWidth="1"/>
  </cols>
  <sheetData>
    <row r="1" spans="1:11">
      <c r="A1" s="6" t="s">
        <v>20</v>
      </c>
    </row>
    <row r="2" spans="1:11">
      <c r="A2" s="7" t="s">
        <v>21</v>
      </c>
    </row>
    <row r="4" spans="1:11" ht="45" customHeight="1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</row>
    <row r="5" spans="1:11" ht="60" customHeight="1">
      <c r="A5" s="9">
        <v>1</v>
      </c>
      <c r="B5" s="9" t="s">
        <v>33</v>
      </c>
      <c r="C5" s="9" t="s">
        <v>34</v>
      </c>
      <c r="D5" s="9" t="s">
        <v>35</v>
      </c>
      <c r="E5" s="10"/>
      <c r="F5" s="10"/>
      <c r="G5" s="10"/>
      <c r="H5" s="10"/>
      <c r="I5" s="10"/>
      <c r="J5" s="10"/>
      <c r="K5" s="11" t="str">
        <f>IF(E5="","",IF(AND(E5="Bien-être",G5&lt;&gt;"—",G5&lt;&gt;""),"À revoir : un produit bien-être n'a pas de classe (—)",IF(AND(E5="Dispositif médical",OR(G5="—",G5="")),"Indiquez une classe : I, IIa, IIb ou III",IF(AND(OR(G5="IIa",G5="IIb",G5="III"),I5="Non"),"À revoir : dès IIa, organisme notifié",IF(AND(G5="I",I5="Oui"),"À vérifier : classe I = en général auto-déclaration",IF(F5="","Ajoutez la phrase qui prouve la finalité","OK"))))))</f>
        <v/>
      </c>
    </row>
    <row r="6" spans="1:11" ht="60" customHeight="1">
      <c r="A6" s="9">
        <v>2</v>
      </c>
      <c r="B6" s="9" t="s">
        <v>36</v>
      </c>
      <c r="C6" s="9" t="s">
        <v>37</v>
      </c>
      <c r="D6" s="9" t="s">
        <v>38</v>
      </c>
      <c r="E6" s="10"/>
      <c r="F6" s="10"/>
      <c r="G6" s="10"/>
      <c r="H6" s="10"/>
      <c r="I6" s="10"/>
      <c r="J6" s="10"/>
      <c r="K6" s="11" t="str">
        <f>IF(E6="","",IF(AND(E6="Bien-être",G6&lt;&gt;"—",G6&lt;&gt;""),"À revoir : un produit bien-être n'a pas de classe (—)",IF(AND(E6="Dispositif médical",OR(G6="—",G6="")),"Indiquez une classe : I, IIa, IIb ou III",IF(AND(OR(G6="IIa",G6="IIb",G6="III"),I6="Non"),"À revoir : dès IIa, organisme notifié",IF(AND(G6="I",I6="Oui"),"À vérifier : classe I = en général auto-déclaration",IF(F6="","Ajoutez la phrase qui prouve la finalité","OK"))))))</f>
        <v/>
      </c>
    </row>
    <row r="7" spans="1:11" ht="60" customHeight="1">
      <c r="A7" s="9">
        <v>3</v>
      </c>
      <c r="B7" s="9" t="s">
        <v>39</v>
      </c>
      <c r="C7" s="9" t="s">
        <v>40</v>
      </c>
      <c r="D7" s="9" t="s">
        <v>41</v>
      </c>
      <c r="E7" s="10"/>
      <c r="F7" s="10"/>
      <c r="G7" s="10"/>
      <c r="H7" s="10"/>
      <c r="I7" s="10"/>
      <c r="J7" s="10"/>
      <c r="K7" s="11" t="str">
        <f>IF(E7="","",IF(AND(E7="Bien-être",G7&lt;&gt;"—",G7&lt;&gt;""),"À revoir : un produit bien-être n'a pas de classe (—)",IF(AND(E7="Dispositif médical",OR(G7="—",G7="")),"Indiquez une classe : I, IIa, IIb ou III",IF(AND(OR(G7="IIa",G7="IIb",G7="III"),I7="Non"),"À revoir : dès IIa, organisme notifié",IF(AND(G7="I",I7="Oui"),"À vérifier : classe I = en général auto-déclaration",IF(F7="","Ajoutez la phrase qui prouve la finalité","OK"))))))</f>
        <v/>
      </c>
    </row>
    <row r="8" spans="1:11" ht="60" customHeight="1">
      <c r="A8" s="9">
        <v>4</v>
      </c>
      <c r="B8" s="9" t="s">
        <v>42</v>
      </c>
      <c r="C8" s="9" t="s">
        <v>43</v>
      </c>
      <c r="D8" s="9" t="s">
        <v>44</v>
      </c>
      <c r="E8" s="10"/>
      <c r="F8" s="10"/>
      <c r="G8" s="10"/>
      <c r="H8" s="10"/>
      <c r="I8" s="10"/>
      <c r="J8" s="10"/>
      <c r="K8" s="11" t="str">
        <f>IF(E8="","",IF(AND(E8="Bien-être",G8&lt;&gt;"—",G8&lt;&gt;""),"À revoir : un produit bien-être n'a pas de classe (—)",IF(AND(E8="Dispositif médical",OR(G8="—",G8="")),"Indiquez une classe : I, IIa, IIb ou III",IF(AND(OR(G8="IIa",G8="IIb",G8="III"),I8="Non"),"À revoir : dès IIa, organisme notifié",IF(AND(G8="I",I8="Oui"),"À vérifier : classe I = en général auto-déclaration",IF(F8="","Ajoutez la phrase qui prouve la finalité","OK"))))))</f>
        <v/>
      </c>
    </row>
    <row r="9" spans="1:11" ht="60" customHeight="1">
      <c r="A9" s="9">
        <v>5</v>
      </c>
      <c r="B9" s="9" t="s">
        <v>45</v>
      </c>
      <c r="C9" s="9" t="s">
        <v>46</v>
      </c>
      <c r="D9" s="9" t="s">
        <v>47</v>
      </c>
      <c r="E9" s="10"/>
      <c r="F9" s="10"/>
      <c r="G9" s="10"/>
      <c r="H9" s="10"/>
      <c r="I9" s="10"/>
      <c r="J9" s="10"/>
      <c r="K9" s="11" t="str">
        <f>IF(E9="","",IF(AND(E9="Bien-être",G9&lt;&gt;"—",G9&lt;&gt;""),"À revoir : un produit bien-être n'a pas de classe (—)",IF(AND(E9="Dispositif médical",OR(G9="—",G9="")),"Indiquez une classe : I, IIa, IIb ou III",IF(AND(OR(G9="IIa",G9="IIb",G9="III"),I9="Non"),"À revoir : dès IIa, organisme notifié",IF(AND(G9="I",I9="Oui"),"À vérifier : classe I = en général auto-déclaration",IF(F9="","Ajoutez la phrase qui prouve la finalité","OK"))))))</f>
        <v/>
      </c>
    </row>
    <row r="10" spans="1:11" ht="60" customHeight="1">
      <c r="A10" s="9">
        <v>6</v>
      </c>
      <c r="B10" s="9" t="s">
        <v>48</v>
      </c>
      <c r="C10" s="9" t="s">
        <v>49</v>
      </c>
      <c r="D10" s="9" t="s">
        <v>50</v>
      </c>
      <c r="E10" s="10"/>
      <c r="F10" s="10"/>
      <c r="G10" s="10"/>
      <c r="H10" s="10"/>
      <c r="I10" s="10"/>
      <c r="J10" s="10"/>
      <c r="K10" s="11" t="str">
        <f>IF(E10="","",IF(AND(E10="Bien-être",G10&lt;&gt;"—",G10&lt;&gt;""),"À revoir : un produit bien-être n'a pas de classe (—)",IF(AND(E10="Dispositif médical",OR(G10="—",G10="")),"Indiquez une classe : I, IIa, IIb ou III",IF(AND(OR(G10="IIa",G10="IIb",G10="III"),I10="Non"),"À revoir : dès IIa, organisme notifié",IF(AND(G10="I",I10="Oui"),"À vérifier : classe I = en général auto-déclaration",IF(F10="","Ajoutez la phrase qui prouve la finalité","OK"))))))</f>
        <v/>
      </c>
    </row>
    <row r="11" spans="1:11" ht="60" customHeight="1">
      <c r="A11" s="9">
        <v>7</v>
      </c>
      <c r="B11" s="9" t="s">
        <v>51</v>
      </c>
      <c r="C11" s="9" t="s">
        <v>52</v>
      </c>
      <c r="D11" s="9" t="s">
        <v>53</v>
      </c>
      <c r="E11" s="10"/>
      <c r="F11" s="10"/>
      <c r="G11" s="10"/>
      <c r="H11" s="10"/>
      <c r="I11" s="10"/>
      <c r="J11" s="10"/>
      <c r="K11" s="11" t="str">
        <f>IF(E11="","",IF(AND(E11="Bien-être",G11&lt;&gt;"—",G11&lt;&gt;""),"À revoir : un produit bien-être n'a pas de classe (—)",IF(AND(E11="Dispositif médical",OR(G11="—",G11="")),"Indiquez une classe : I, IIa, IIb ou III",IF(AND(OR(G11="IIa",G11="IIb",G11="III"),I11="Non"),"À revoir : dès IIa, organisme notifié",IF(AND(G11="I",I11="Oui"),"À vérifier : classe I = en général auto-déclaration",IF(F11="","Ajoutez la phrase qui prouve la finalité","OK"))))))</f>
        <v/>
      </c>
    </row>
    <row r="12" spans="1:11" ht="60" customHeight="1">
      <c r="A12" s="9">
        <v>8</v>
      </c>
      <c r="B12" s="9" t="s">
        <v>54</v>
      </c>
      <c r="C12" s="9" t="s">
        <v>55</v>
      </c>
      <c r="D12" s="9" t="s">
        <v>56</v>
      </c>
      <c r="E12" s="10"/>
      <c r="F12" s="10"/>
      <c r="G12" s="10"/>
      <c r="H12" s="10"/>
      <c r="I12" s="10"/>
      <c r="J12" s="10"/>
      <c r="K12" s="11" t="str">
        <f>IF(E12="","",IF(AND(E12="Bien-être",G12&lt;&gt;"—",G12&lt;&gt;""),"À revoir : un produit bien-être n'a pas de classe (—)",IF(AND(E12="Dispositif médical",OR(G12="—",G12="")),"Indiquez une classe : I, IIa, IIb ou III",IF(AND(OR(G12="IIa",G12="IIb",G12="III"),I12="Non"),"À revoir : dès IIa, organisme notifié",IF(AND(G12="I",I12="Oui"),"À vérifier : classe I = en général auto-déclaration",IF(F12="","Ajoutez la phrase qui prouve la finalité","OK"))))))</f>
        <v/>
      </c>
    </row>
    <row r="13" spans="1:11" ht="60" customHeight="1">
      <c r="A13" s="11">
        <v>9</v>
      </c>
      <c r="B13" s="10" t="s">
        <v>57</v>
      </c>
      <c r="C13" s="10"/>
      <c r="D13" s="10"/>
      <c r="E13" s="10"/>
      <c r="F13" s="10"/>
      <c r="G13" s="10"/>
      <c r="H13" s="10"/>
      <c r="I13" s="10"/>
      <c r="J13" s="10"/>
      <c r="K13" s="11" t="str">
        <f>IF(E13="","",IF(AND(E13="Bien-être",G13&lt;&gt;"—",G13&lt;&gt;""),"À revoir : un produit bien-être n'a pas de classe (—)",IF(AND(E13="Dispositif médical",OR(G13="—",G13="")),"Indiquez une classe : I, IIa, IIb ou III",IF(AND(OR(G13="IIa",G13="IIb",G13="III"),I13="Non"),"À revoir : dès IIa, organisme notifié",IF(AND(G13="I",I13="Oui"),"À vérifier : classe I = en général auto-déclaration",IF(F13="","Ajoutez la phrase qui prouve la finalité","OK"))))))</f>
        <v/>
      </c>
    </row>
    <row r="15" spans="1:11">
      <c r="B15" s="12" t="s">
        <v>58</v>
      </c>
      <c r="E15" t="str">
        <f>COUNTA(E5:E13)</f>
        <v/>
      </c>
    </row>
    <row r="16" spans="1:11">
      <c r="B16" s="12" t="s">
        <v>59</v>
      </c>
      <c r="E16" t="str">
        <f>COUNTIF(K5:K13,"OK")</f>
        <v/>
      </c>
    </row>
  </sheetData>
  <conditionalFormatting sqref="K5:K13">
    <cfRule type="expression" dxfId="1" priority="1">
      <formula>K5="OK"</formula>
    </cfRule>
    <cfRule type="expression" dxfId="0" priority="2">
      <formula>AND(K5&lt;&gt;"",K5&lt;&gt;"OK")</formula>
    </cfRule>
  </conditionalFormatting>
  <dataValidations count="4">
    <dataValidation type="list" allowBlank="1" errorTitle="Valeur non prévue" error="Choisissez une valeur de la liste." promptTitle="Choix" prompt="Bien-être, Dispositif médical ou À discuter" sqref="E5 E6 E7 E8 E9 E10 E11 E12 E13" xr:uid="{00000000-0002-0000-0100-000000000000}">
      <formula1>"Bien-être,Dispositif médical,À discuter"</formula1>
    </dataValidation>
    <dataValidation type="list" allowBlank="1" errorTitle="Valeur non prévue" error="Choisissez une valeur de la liste." promptTitle="Choix" prompt="I, IIa, IIb, III ou —" sqref="G5 G6 G7 G8 G9 G10 G11 G12 G13" xr:uid="{00000000-0002-0000-0100-000001000000}">
      <formula1>"I,IIa,IIb,III,—"</formula1>
    </dataValidation>
    <dataValidation type="list" allowBlank="1" errorTitle="Valeur non prévue" error="Choisissez une valeur de la liste." promptTitle="Choix" prompt="Oui ou Non" sqref="I5 I6 I7 I8 I9 I10 I11 I12 I13" xr:uid="{00000000-0002-0000-0100-000002000000}">
      <formula1>"Oui,Non"</formula1>
    </dataValidation>
    <dataValidation type="list" allowBlank="1" errorTitle="Valeur non prévue" error="Choisissez une valeur de la liste." promptTitle="Choix" prompt="Choisissez une règle ou écrivez-la" sqref="H5 H6 H7 H8 H9 H10 H11 H12 H13" xr:uid="{00000000-0002-0000-0100-000003000000}">
      <formula1>"Règle 11 (logiciel),Règle 10 (appareil de mesure),Règle 12 (administre un médicament),Règle 13 (autre appareil actif),Autre (préciser),—"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Eddy Elisabeth</cp:lastModifiedBy>
  <cp:revision/>
  <dcterms:created xsi:type="dcterms:W3CDTF">2026-10-14T06:50:02Z</dcterms:created>
  <dcterms:modified xsi:type="dcterms:W3CDTF">2026-10-16T08:20:26Z</dcterms:modified>
  <cp:category/>
  <cp:contentStatus/>
</cp:coreProperties>
</file>